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<sst xmlns="http://schemas.openxmlformats.org/spreadsheetml/2006/main" count="23" uniqueCount="23">
  <si>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Liste des cours</t>
  </si>
  <si>
    <t>COURS</t>
  </si>
  <si>
    <t xml:space="preserve">Planning du mois de juin</t>
  </si>
  <si>
    <t>Mon1</t>
  </si>
  <si>
    <t>Peinture</t>
  </si>
  <si>
    <t>Cuisine</t>
  </si>
  <si>
    <t>Informatique</t>
  </si>
  <si>
    <t>Self-défense</t>
  </si>
  <si>
    <t>Comptabilité</t>
  </si>
  <si>
    <t>Mathématiques</t>
  </si>
  <si>
    <t>Histoire</t>
  </si>
  <si>
    <t xml:space="preserve">Produit Quantité </t>
  </si>
  <si>
    <t>Quantité</t>
  </si>
  <si>
    <t xml:space="preserve"> Prix unitair</t>
  </si>
  <si>
    <t xml:space="preserve"> Montant Total</t>
  </si>
  <si>
    <t xml:space="preserve">la remise</t>
  </si>
  <si>
    <t xml:space="preserve">MONTANT DE LA REMIS</t>
  </si>
  <si>
    <t xml:space="preserve">Unité centrale</t>
  </si>
  <si>
    <t xml:space="preserve">Moniteur </t>
  </si>
  <si>
    <t xml:space="preserve">Clavier </t>
  </si>
  <si>
    <t xml:space="preserve">Souris </t>
  </si>
  <si>
    <t xml:space="preserve">Imprimante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</si>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</sst>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d.&quot; &quot;d"/>
  </numFmts>
  <fonts count="14">
    <font>
      <sz val="11.000000"/>
      <color theme="1"/>
      <name val="Calibri"/>
      <scheme val="minor"/>
    </font>
    <font>
      <b/>
      <sz val="18.000000"/>
      <color theme="1"/>
      <name val="Noto Looped Lao ExCd ExBd"/>
    </font>
    <font>
      <b/>
      <sz val="16.000000"/>
      <color indexed="64"/>
      <name val="Liberation Sans"/>
    </font>
    <font>
      <b/>
      <sz val="18.000000"/>
      <color indexed="64"/>
      <name val="Comic Relief"/>
    </font>
    <font>
      <sz val="7.500000"/>
      <color indexed="64"/>
      <name val="Liberation Sans"/>
    </font>
    <font>
      <b/>
      <sz val="7.500000"/>
      <color indexed="64"/>
      <name val="Liberation Sans"/>
    </font>
    <font>
      <sz val="11.000000"/>
      <color theme="1"/>
      <name val="JetBrains Mono NL SemiBold"/>
    </font>
    <font>
      <b/>
      <sz val="16.000000"/>
      <color theme="1"/>
      <name val="Calibri"/>
      <scheme val="minor"/>
    </font>
    <font>
      <b/>
      <sz val="20.000000"/>
      <color indexed="64"/>
      <name val="Liberation Sans"/>
    </font>
    <font>
      <b/>
      <sz val="18.000000"/>
      <color indexed="64"/>
      <name val="Liberation Sans"/>
    </font>
    <font>
      <b/>
      <sz val="14.000000"/>
      <color indexed="64"/>
      <name val="Liberation Sans"/>
    </font>
    <font>
      <b/>
      <sz val="12.000000"/>
      <color indexed="64"/>
      <name val="Liberation Sans"/>
    </font>
    <font>
      <b/>
      <sz val="11.000000"/>
      <color theme="1"/>
      <name val="Gelasio SemiBold"/>
    </font>
    <font>
      <b/>
      <sz val="11.00000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C00000"/>
        <bgColor rgb="FFC0000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 tint="-0.049989318521683403"/>
        <bgColor theme="0" tint="-0.049989318521683403"/>
      </patternFill>
    </fill>
  </fills>
  <borders count="5">
    <border>
      <left style="none"/>
      <right style="none"/>
      <top style="none"/>
      <bottom style="none"/>
      <diagonal style="none"/>
    </border>
    <border diagonalDown="1" diagonalUp="1"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 style="dotted">
        <color theme="1"/>
      </diagonal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2" fillId="2" borderId="1" numFmtId="0" xfId="0" applyFont="1" applyFill="1" applyBorder="1" applyAlignment="1">
      <alignment horizontal="center" textRotation="45" vertical="center" wrapText="1"/>
    </xf>
    <xf fontId="3" fillId="3" borderId="2" numFmtId="0" xfId="0" applyFont="1" applyFill="1" applyBorder="1" applyAlignment="1">
      <alignment horizontal="center" vertical="center" wrapText="1"/>
    </xf>
    <xf fontId="4" fillId="3" borderId="2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textRotation="45" vertical="center" wrapText="1"/>
    </xf>
    <xf fontId="6" fillId="4" borderId="2" numFmtId="14" xfId="0" applyNumberFormat="1" applyFont="1" applyFill="1" applyBorder="1" applyAlignment="1">
      <alignment horizontal="center" textRotation="90" vertical="center" wrapText="1"/>
    </xf>
    <xf fontId="7" fillId="4" borderId="2" numFmtId="164" xfId="0" applyNumberFormat="1" applyFont="1" applyFill="1" applyBorder="1" applyAlignment="1">
      <alignment horizontal="center" textRotation="90" vertical="center" wrapText="1"/>
    </xf>
    <xf fontId="7" fillId="4" borderId="2" numFmtId="164" xfId="0" applyNumberFormat="1" applyFont="1" applyFill="1" applyBorder="1" applyAlignment="1">
      <alignment horizontal="center" textRotation="90" vertical="center"/>
    </xf>
    <xf fontId="8" fillId="2" borderId="3" numFmtId="0" xfId="0" applyFont="1" applyFill="1" applyBorder="1" applyAlignment="1">
      <alignment horizontal="left" vertical="center" wrapText="1"/>
    </xf>
    <xf fontId="0" fillId="3" borderId="2" numFmtId="0" xfId="0" applyFill="1" applyBorder="1" applyAlignment="1">
      <alignment horizontal="left" vertical="center" wrapText="1"/>
    </xf>
    <xf fontId="0" fillId="3" borderId="2" numFmtId="0" xfId="0" applyFill="1" applyBorder="1"/>
    <xf fontId="0" fillId="0" borderId="2" numFmtId="0" xfId="0" applyBorder="1"/>
    <xf fontId="9" fillId="2" borderId="4" numFmtId="0" xfId="0" applyFont="1" applyFill="1" applyBorder="1" applyAlignment="1">
      <alignment horizontal="left" vertical="center" wrapText="1"/>
    </xf>
    <xf fontId="0" fillId="0" borderId="2" numFmtId="0" xfId="0" applyBorder="1" applyAlignment="1">
      <alignment horizontal="left" vertical="center" wrapText="1"/>
    </xf>
    <xf fontId="0" fillId="5" borderId="2" numFmtId="0" xfId="0" applyFill="1" applyBorder="1" applyAlignment="1">
      <alignment horizontal="left" vertical="center" wrapText="1"/>
    </xf>
    <xf fontId="0" fillId="5" borderId="2" numFmtId="0" xfId="0" applyFill="1" applyBorder="1"/>
    <xf fontId="10" fillId="2" borderId="4" numFmtId="0" xfId="0" applyFont="1" applyFill="1" applyBorder="1" applyAlignment="1">
      <alignment horizontal="left" vertical="center" wrapText="1"/>
    </xf>
    <xf fontId="0" fillId="0" borderId="2" numFmtId="0" xfId="0" applyBorder="1" applyAlignment="1">
      <alignment horizontal="left" textRotation="45" vertical="center" wrapText="1"/>
    </xf>
    <xf fontId="0" fillId="6" borderId="2" numFmtId="0" xfId="0" applyFill="1" applyBorder="1"/>
    <xf fontId="0" fillId="7" borderId="2" numFmtId="0" xfId="0" applyFill="1" applyBorder="1" applyAlignment="1">
      <alignment horizontal="left" vertical="center" wrapText="1"/>
    </xf>
    <xf fontId="0" fillId="7" borderId="2" numFmtId="0" xfId="0" applyFill="1" applyBorder="1"/>
    <xf fontId="0" fillId="6" borderId="2" numFmtId="0" xfId="0" applyFill="1" applyBorder="1" applyAlignment="1">
      <alignment horizontal="left" vertical="center" wrapText="1"/>
    </xf>
    <xf fontId="11" fillId="2" borderId="4" numFmtId="0" xfId="0" applyFont="1" applyFill="1" applyBorder="1" applyAlignment="1">
      <alignment horizontal="left" vertical="center" wrapText="1"/>
    </xf>
    <xf fontId="0" fillId="8" borderId="2" numFmtId="0" xfId="0" applyFill="1" applyBorder="1"/>
    <xf fontId="0" fillId="9" borderId="2" numFmtId="0" xfId="0" applyFill="1" applyBorder="1" applyAlignment="1">
      <alignment horizontal="left" vertical="center" wrapText="1"/>
    </xf>
    <xf fontId="0" fillId="9" borderId="2" numFmtId="0" xfId="0" applyFill="1" applyBorder="1"/>
    <xf fontId="8" fillId="2" borderId="4" numFmtId="0" xfId="0" applyFont="1" applyFill="1" applyBorder="1" applyAlignment="1">
      <alignment horizontal="left" vertical="center" wrapText="1"/>
    </xf>
    <xf fontId="7" fillId="10" borderId="2" numFmtId="0" xfId="0" applyFont="1" applyFill="1" applyBorder="1" applyAlignment="1">
      <alignment vertical="center"/>
    </xf>
    <xf fontId="7" fillId="6" borderId="2" numFmtId="0" xfId="0" applyFont="1" applyFill="1" applyBorder="1" applyAlignment="1">
      <alignment horizontal="center" vertical="center"/>
    </xf>
    <xf fontId="7" fillId="6" borderId="2" numFmtId="0" xfId="0" applyFont="1" applyFill="1" applyBorder="1" applyAlignment="1">
      <alignment vertical="center"/>
    </xf>
    <xf fontId="7" fillId="11" borderId="2" numFmtId="0" xfId="0" applyFont="1" applyFill="1" applyBorder="1" applyAlignment="1">
      <alignment vertical="center"/>
    </xf>
    <xf fontId="7" fillId="11" borderId="2" numFmtId="3" xfId="0" applyNumberFormat="1" applyFont="1" applyFill="1" applyBorder="1" applyAlignment="1">
      <alignment vertical="center"/>
    </xf>
    <xf fontId="7" fillId="11" borderId="2" numFmtId="9" xfId="0" applyNumberFormat="1" applyFont="1" applyFill="1" applyBorder="1" applyAlignment="1">
      <alignment vertical="center"/>
    </xf>
    <xf fontId="12" fillId="6" borderId="2" numFmtId="0" xfId="0" applyFont="1" applyFill="1" applyBorder="1" applyAlignment="1">
      <alignment vertical="center"/>
    </xf>
    <xf fontId="13" fillId="4" borderId="2" numFmt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0" zoomScale="100" workbookViewId="0">
      <selection activeCell="A1" activeCellId="0" sqref="A1"/>
    </sheetView>
  </sheetViews>
  <sheetFormatPr defaultRowHeight="14.25"/>
  <cols>
    <col customWidth="1" min="2" max="2" width="25.421875"/>
    <col customWidth="1" min="3" max="6" width="24.421875"/>
    <col customWidth="1" min="7" max="7" width="33.421875"/>
    <col customWidth="1" min="11" max="11" width="14.421875"/>
    <col customWidth="1" min="12" max="12" width="18.140625"/>
    <col customWidth="1" min="13" max="13" width="13.140625"/>
    <col customWidth="1" min="14" max="14" width="14.140625"/>
    <col customWidth="1" min="15" max="15" width="14.28125"/>
    <col customWidth="1" min="16" max="16" width="13.57421875"/>
    <col customWidth="1" min="17" max="17" width="14.421875"/>
    <col customWidth="1" min="18" max="18" width="11.28125"/>
    <col customWidth="1" min="19" max="19" width="13.421875"/>
    <col customWidth="1" min="20" max="20" width="11.421875"/>
    <col customWidth="1" min="21" max="21" width="11.28125"/>
    <col customWidth="1" min="22" max="22" width="14.57421875"/>
    <col customWidth="1" min="23" max="23" width="11.421875"/>
    <col customWidth="1" min="24" max="24" width="12.28125"/>
    <col customWidth="1" min="25" max="25" width="13.8515625"/>
    <col customWidth="1" min="26" max="26" width="14.140625"/>
    <col customWidth="1" min="27" max="27" width="12.00390625"/>
    <col customWidth="1" min="28" max="28" width="12.8515625"/>
    <col customWidth="1" min="29" max="29" width="11.57421875"/>
    <col customWidth="1" min="30" max="31" width="12.421875"/>
    <col customWidth="1" min="32" max="32" width="12.00390625"/>
  </cols>
  <sheetData>
    <row r="1" ht="46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30.75" customHeight="1">
      <c r="B2" s="3" t="s">
        <v>1</v>
      </c>
      <c r="C2" s="4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69" customHeight="1">
      <c r="B3" s="6"/>
      <c r="C3" s="7" t="s">
        <v>3</v>
      </c>
      <c r="D3" s="8">
        <v>46175</v>
      </c>
      <c r="E3" s="9">
        <v>46176</v>
      </c>
      <c r="F3" s="8">
        <v>46177</v>
      </c>
      <c r="G3" s="9">
        <v>46178</v>
      </c>
      <c r="H3" s="8">
        <v>46179</v>
      </c>
      <c r="I3" s="9">
        <v>46180</v>
      </c>
      <c r="J3" s="8">
        <v>46181</v>
      </c>
      <c r="K3" s="9">
        <v>46182</v>
      </c>
      <c r="L3" s="8">
        <v>46183</v>
      </c>
      <c r="M3" s="9">
        <v>46184</v>
      </c>
      <c r="N3" s="8">
        <v>46185</v>
      </c>
      <c r="O3" s="9">
        <v>46186</v>
      </c>
      <c r="P3" s="8">
        <v>46187</v>
      </c>
      <c r="Q3" s="9">
        <v>46188</v>
      </c>
      <c r="R3" s="8">
        <v>46189</v>
      </c>
      <c r="S3" s="9">
        <v>46190</v>
      </c>
      <c r="T3" s="8">
        <v>46191</v>
      </c>
      <c r="U3" s="9">
        <v>46192</v>
      </c>
      <c r="V3" s="8">
        <v>46193</v>
      </c>
      <c r="W3" s="9">
        <v>46194</v>
      </c>
      <c r="X3" s="8">
        <v>46195</v>
      </c>
      <c r="Y3" s="9">
        <v>46196</v>
      </c>
      <c r="Z3" s="8">
        <v>46197</v>
      </c>
      <c r="AA3" s="9">
        <v>46198</v>
      </c>
      <c r="AB3" s="8">
        <v>46199</v>
      </c>
      <c r="AC3" s="9">
        <v>46200</v>
      </c>
      <c r="AD3" s="8">
        <v>46201</v>
      </c>
      <c r="AE3" s="9">
        <v>46202</v>
      </c>
      <c r="AF3" s="8">
        <v>46203</v>
      </c>
      <c r="AG3" s="9">
        <v>46204</v>
      </c>
    </row>
    <row r="4" ht="42" customHeight="1">
      <c r="B4" s="10" t="s">
        <v>4</v>
      </c>
      <c r="C4" s="11"/>
      <c r="D4" s="11"/>
      <c r="E4" s="12"/>
      <c r="F4" s="12"/>
      <c r="G4" s="12"/>
      <c r="H4" s="13"/>
      <c r="I4" s="13"/>
      <c r="J4" s="11"/>
      <c r="K4" s="11"/>
      <c r="L4" s="12"/>
      <c r="M4" s="12"/>
      <c r="N4" s="12"/>
      <c r="O4" s="13"/>
      <c r="P4" s="13"/>
      <c r="Q4" s="11"/>
      <c r="R4" s="11"/>
      <c r="S4" s="12"/>
      <c r="T4" s="12"/>
      <c r="U4" s="12"/>
      <c r="V4" s="13"/>
      <c r="W4" s="13"/>
      <c r="X4" s="11"/>
      <c r="Y4" s="11"/>
      <c r="Z4" s="12"/>
      <c r="AA4" s="12"/>
      <c r="AB4" s="12"/>
      <c r="AC4" s="13"/>
      <c r="AD4" s="13"/>
      <c r="AE4" s="11"/>
      <c r="AF4" s="11"/>
      <c r="AG4" s="12"/>
    </row>
    <row r="5" ht="43.5" customHeight="1">
      <c r="B5" s="14" t="s">
        <v>5</v>
      </c>
      <c r="C5" s="15"/>
      <c r="D5" s="16"/>
      <c r="E5" s="17"/>
      <c r="F5" s="13"/>
      <c r="G5" s="13"/>
      <c r="H5" s="13"/>
      <c r="I5" s="13"/>
      <c r="J5" s="15"/>
      <c r="K5" s="16"/>
      <c r="L5" s="17"/>
      <c r="M5" s="13"/>
      <c r="N5" s="13"/>
      <c r="O5" s="13"/>
      <c r="P5" s="13"/>
      <c r="Q5" s="15"/>
      <c r="R5" s="16"/>
      <c r="S5" s="17"/>
      <c r="T5" s="13"/>
      <c r="U5" s="13"/>
      <c r="V5" s="13"/>
      <c r="W5" s="13"/>
      <c r="X5" s="15"/>
      <c r="Y5" s="16"/>
      <c r="Z5" s="17"/>
      <c r="AA5" s="13"/>
      <c r="AB5" s="13"/>
      <c r="AC5" s="13"/>
      <c r="AD5" s="13"/>
      <c r="AE5" s="15"/>
      <c r="AF5" s="16"/>
      <c r="AG5" s="17"/>
    </row>
    <row r="6" ht="37.5" customHeight="1">
      <c r="B6" s="18" t="s">
        <v>6</v>
      </c>
      <c r="C6" s="15"/>
      <c r="D6" s="19"/>
      <c r="E6" s="13"/>
      <c r="F6" s="20"/>
      <c r="G6" s="20"/>
      <c r="H6" s="20"/>
      <c r="I6" s="13"/>
      <c r="J6" s="15"/>
      <c r="K6" s="19"/>
      <c r="L6" s="13"/>
      <c r="M6" s="20"/>
      <c r="N6" s="20"/>
      <c r="O6" s="20"/>
      <c r="P6" s="13"/>
      <c r="Q6" s="15"/>
      <c r="R6" s="19"/>
      <c r="S6" s="13"/>
      <c r="T6" s="20"/>
      <c r="U6" s="20"/>
      <c r="V6" s="20"/>
      <c r="W6" s="13"/>
      <c r="X6" s="15"/>
      <c r="Y6" s="19"/>
      <c r="Z6" s="13"/>
      <c r="AA6" s="20"/>
      <c r="AB6" s="20"/>
      <c r="AC6" s="20"/>
      <c r="AD6" s="13"/>
      <c r="AE6" s="15"/>
      <c r="AF6" s="19"/>
      <c r="AG6" s="13"/>
    </row>
    <row r="7" ht="37.5" customHeight="1">
      <c r="B7" s="18" t="s">
        <v>7</v>
      </c>
      <c r="C7" s="15"/>
      <c r="D7" s="21"/>
      <c r="E7" s="13"/>
      <c r="F7" s="22"/>
      <c r="G7" s="13"/>
      <c r="H7" s="13"/>
      <c r="I7" s="13"/>
      <c r="J7" s="15"/>
      <c r="K7" s="21"/>
      <c r="L7" s="13"/>
      <c r="M7" s="22"/>
      <c r="N7" s="13"/>
      <c r="O7" s="13"/>
      <c r="P7" s="13"/>
      <c r="Q7" s="15"/>
      <c r="R7" s="21"/>
      <c r="S7" s="13"/>
      <c r="T7" s="22"/>
      <c r="U7" s="13"/>
      <c r="V7" s="13"/>
      <c r="W7" s="13"/>
      <c r="X7" s="15"/>
      <c r="Y7" s="21"/>
      <c r="Z7" s="13"/>
      <c r="AA7" s="22"/>
      <c r="AB7" s="13"/>
      <c r="AC7" s="13"/>
      <c r="AD7" s="13"/>
      <c r="AE7" s="15"/>
      <c r="AF7" s="21"/>
      <c r="AG7" s="13"/>
    </row>
    <row r="8" ht="47.25" customHeight="1">
      <c r="B8" s="18" t="s">
        <v>8</v>
      </c>
      <c r="C8" s="23"/>
      <c r="D8" s="23"/>
      <c r="E8" s="20"/>
      <c r="F8" s="13"/>
      <c r="G8" s="13"/>
      <c r="H8" s="13"/>
      <c r="I8" s="13"/>
      <c r="J8" s="23"/>
      <c r="K8" s="23"/>
      <c r="L8" s="20"/>
      <c r="M8" s="13"/>
      <c r="N8" s="13"/>
      <c r="O8" s="13"/>
      <c r="P8" s="13"/>
      <c r="Q8" s="23"/>
      <c r="R8" s="23"/>
      <c r="S8" s="20"/>
      <c r="T8" s="13"/>
      <c r="U8" s="13"/>
      <c r="V8" s="13"/>
      <c r="W8" s="13"/>
      <c r="X8" s="23"/>
      <c r="Y8" s="23"/>
      <c r="Z8" s="20"/>
      <c r="AA8" s="13"/>
      <c r="AB8" s="13"/>
      <c r="AC8" s="13"/>
      <c r="AD8" s="13"/>
      <c r="AE8" s="23"/>
      <c r="AF8" s="23"/>
      <c r="AG8" s="20"/>
    </row>
    <row r="9" ht="38.25" customHeight="1">
      <c r="B9" s="24" t="s">
        <v>9</v>
      </c>
      <c r="C9" s="15"/>
      <c r="D9" s="15"/>
      <c r="E9" s="13"/>
      <c r="F9" s="13"/>
      <c r="G9" s="25"/>
      <c r="H9" s="13"/>
      <c r="I9" s="13"/>
      <c r="J9" s="15"/>
      <c r="K9" s="15"/>
      <c r="L9" s="13"/>
      <c r="M9" s="13"/>
      <c r="N9" s="25"/>
      <c r="O9" s="13"/>
      <c r="P9" s="13"/>
      <c r="Q9" s="15"/>
      <c r="R9" s="15"/>
      <c r="S9" s="13"/>
      <c r="T9" s="13"/>
      <c r="U9" s="25"/>
      <c r="V9" s="13"/>
      <c r="W9" s="13"/>
      <c r="X9" s="26"/>
      <c r="Y9" s="26"/>
      <c r="Z9" s="27"/>
      <c r="AA9" s="27"/>
      <c r="AB9" s="27"/>
      <c r="AC9" s="27"/>
      <c r="AD9" s="27"/>
      <c r="AE9" s="26"/>
      <c r="AF9" s="26"/>
      <c r="AG9" s="27"/>
    </row>
    <row r="10" ht="43.5" customHeight="1">
      <c r="B10" s="28" t="s">
        <v>10</v>
      </c>
      <c r="C10" s="15"/>
      <c r="D10" s="15"/>
      <c r="E10" s="13"/>
      <c r="F10" s="22"/>
      <c r="G10" s="22"/>
      <c r="H10" s="22"/>
      <c r="I10" s="13"/>
      <c r="J10" s="15"/>
      <c r="K10" s="15"/>
      <c r="L10" s="13"/>
      <c r="M10" s="22"/>
      <c r="N10" s="22"/>
      <c r="O10" s="22"/>
      <c r="P10" s="13"/>
      <c r="Q10" s="15"/>
      <c r="R10" s="15"/>
      <c r="S10" s="13"/>
      <c r="T10" s="22"/>
      <c r="U10" s="22"/>
      <c r="V10" s="22"/>
      <c r="W10" s="13"/>
      <c r="X10" s="15"/>
      <c r="Y10" s="15"/>
      <c r="Z10" s="13"/>
      <c r="AA10" s="22"/>
      <c r="AB10" s="22"/>
      <c r="AC10" s="22"/>
      <c r="AD10" s="13"/>
      <c r="AE10" s="15"/>
      <c r="AF10" s="15"/>
      <c r="AG10" s="13"/>
    </row>
    <row r="11" ht="74.25" customHeight="1"/>
    <row r="12" ht="45.75" customHeight="1">
      <c r="B12" s="29" t="s">
        <v>11</v>
      </c>
      <c r="C12" s="30" t="s">
        <v>12</v>
      </c>
      <c r="D12" s="30" t="s">
        <v>13</v>
      </c>
      <c r="E12" s="30" t="s">
        <v>14</v>
      </c>
      <c r="F12" s="30" t="s">
        <v>15</v>
      </c>
      <c r="G12" s="30" t="s">
        <v>16</v>
      </c>
    </row>
    <row r="13" ht="53.25" customHeight="1">
      <c r="B13" s="31" t="s">
        <v>17</v>
      </c>
      <c r="C13" s="32">
        <v>10</v>
      </c>
      <c r="D13" s="33">
        <v>550000</v>
      </c>
      <c r="E13" s="32">
        <f>D13*C13</f>
        <v>5500000</v>
      </c>
      <c r="F13" s="34">
        <v>0.02</v>
      </c>
      <c r="G13" s="34">
        <f>(D13*F13)/100</f>
        <v>110</v>
      </c>
    </row>
    <row r="14" ht="53.25" customHeight="1">
      <c r="B14" s="31" t="s">
        <v>18</v>
      </c>
      <c r="C14" s="32">
        <v>10</v>
      </c>
      <c r="D14" s="33">
        <v>140500</v>
      </c>
      <c r="E14" s="32">
        <f>D14*C14</f>
        <v>1405000</v>
      </c>
      <c r="F14" s="34">
        <v>0.23000000000000001</v>
      </c>
      <c r="G14" s="34">
        <f>D14*F14</f>
        <v>32315</v>
      </c>
    </row>
    <row r="15" ht="53.25" customHeight="1">
      <c r="B15" s="31" t="s">
        <v>19</v>
      </c>
      <c r="C15" s="32">
        <v>13</v>
      </c>
      <c r="D15" s="33">
        <v>15800</v>
      </c>
      <c r="E15" s="32">
        <f>D15*C15</f>
        <v>205400</v>
      </c>
      <c r="F15" s="34">
        <v>0.12</v>
      </c>
      <c r="G15" s="34">
        <f>D15*F15</f>
        <v>1896</v>
      </c>
    </row>
    <row r="16" ht="53.25" customHeight="1">
      <c r="B16" s="31" t="s">
        <v>20</v>
      </c>
      <c r="C16" s="32">
        <v>15</v>
      </c>
      <c r="D16" s="33">
        <v>2500</v>
      </c>
      <c r="E16" s="32">
        <f>D16*C16</f>
        <v>37500</v>
      </c>
      <c r="F16" s="34">
        <v>0.16</v>
      </c>
      <c r="G16" s="34">
        <f>D16*F16</f>
        <v>400</v>
      </c>
    </row>
    <row r="17" ht="53.25" customHeight="1">
      <c r="B17" s="31" t="s">
        <v>21</v>
      </c>
      <c r="C17" s="32">
        <v>1</v>
      </c>
      <c r="D17" s="33">
        <v>25000</v>
      </c>
      <c r="E17" s="32">
        <f>D17*C17</f>
        <v>25000</v>
      </c>
      <c r="F17" s="34">
        <v>0.55000000000000004</v>
      </c>
      <c r="G17" s="34">
        <f>D17*F17</f>
        <v>13750.000000000002</v>
      </c>
    </row>
    <row r="18" ht="33.75" customHeight="1"/>
    <row r="19" ht="52.5" customHeight="1">
      <c r="C19" s="35" t="s">
        <v>22</v>
      </c>
    </row>
    <row r="20" ht="39.75" customHeight="1">
      <c r="C20" s="36">
        <f>E13+E14+E15+E16+E17</f>
        <v>7172900</v>
      </c>
    </row>
    <row r="21" ht="56.25" customHeight="1"/>
  </sheetData>
  <mergeCells count="3">
    <mergeCell ref="B1:AG1"/>
    <mergeCell ref="B2:B3"/>
    <mergeCell ref="C2:AG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2026-09-16T12:12:02Z</dcterms:modified>
</cp:coreProperties>
</file>